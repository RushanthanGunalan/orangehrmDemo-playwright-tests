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rangeHRM Test Suite" state="visible" r:id="rId4"/>
    <sheet sheetId="2" name="Summary" state="visible" r:id="rId5"/>
  </sheets>
  <calcPr calcId="171027" fullCalcOnLoad="1"/>
</workbook>
</file>

<file path=xl/sharedStrings.xml><?xml version="1.0" encoding="utf-8"?>
<sst xmlns="http://schemas.openxmlformats.org/spreadsheetml/2006/main" count="455" uniqueCount="265">
  <si>
    <t>Test Case ID</t>
  </si>
  <si>
    <t>Priority</t>
  </si>
  <si>
    <t>Test Type</t>
  </si>
  <si>
    <t>Module / Feature</t>
  </si>
  <si>
    <t>Test Scenario</t>
  </si>
  <si>
    <t>Test Steps</t>
  </si>
  <si>
    <t>Input Data</t>
  </si>
  <si>
    <t>Expected Result</t>
  </si>
  <si>
    <t>Automated</t>
  </si>
  <si>
    <t>Spec File</t>
  </si>
  <si>
    <t>Automation Notes</t>
  </si>
  <si>
    <t>TC_LOGIN_001</t>
  </si>
  <si>
    <t>High</t>
  </si>
  <si>
    <t>Smoke</t>
  </si>
  <si>
    <t>Authentication</t>
  </si>
  <si>
    <t>Verify Successful Login With Valid Credentials</t>
  </si>
  <si>
    <t xml:space="preserve">1. Navigate to the login page
2. Enter a valid admin username and password
3. Click Login</t>
  </si>
  <si>
    <t>Admin / admin123 (OrangeHRM's published public-demo login; env-overridable)</t>
  </si>
  <si>
    <t>User is redirected to the Dashboard; breadcrumb reads "Dashboard"</t>
  </si>
  <si>
    <t>Yes</t>
  </si>
  <si>
    <t>tests/Login.spec.ts</t>
  </si>
  <si>
    <t/>
  </si>
  <si>
    <t>TC_NAV_001</t>
  </si>
  <si>
    <t>Medium</t>
  </si>
  <si>
    <t>Navigation</t>
  </si>
  <si>
    <t>Side Panel Navigation</t>
  </si>
  <si>
    <t>Verify Navigation To Admin Page From Side Panel</t>
  </si>
  <si>
    <t xml:space="preserve">1. Log in
2. Click "Admin" in the side panel</t>
  </si>
  <si>
    <t>n/a</t>
  </si>
  <si>
    <t>Admin page loads; breadcrumb reads "Admin"</t>
  </si>
  <si>
    <t>tests/Navigation.spec.ts</t>
  </si>
  <si>
    <t>TC_CEF_001</t>
  </si>
  <si>
    <t>Functional</t>
  </si>
  <si>
    <t>PIM - Add Employee</t>
  </si>
  <si>
    <t>Add Employee Without Middle Name</t>
  </si>
  <si>
    <t xml:space="preserve">1. Log in
2. Navigate to PIM
3. Click Add
4. Fill First Name, Last Name, and Employee Id
5. Click Save</t>
  </si>
  <si>
    <t>Faker-generated unique first/last name; generated Employee Id suffix</t>
  </si>
  <si>
    <t>Employee is created; the new Personal Details page shows the entered first and last name</t>
  </si>
  <si>
    <t>tests/AddEmployeeTest.spec.ts</t>
  </si>
  <si>
    <t>Created via the UI (it is the subject); tracked marker id, deleted by teardown. Waits for the save redirect.</t>
  </si>
  <si>
    <t>TC_CEF_002</t>
  </si>
  <si>
    <t>Add Employee With Middle Name</t>
  </si>
  <si>
    <t xml:space="preserve">1. Log in
2. Navigate to PIM
3. Click Add
4. Fill First Name, Middle Name, Last Name, and Employee Id
5. Click Save</t>
  </si>
  <si>
    <t>Faker-generated unique first/middle/last name; generated Employee Id suffix</t>
  </si>
  <si>
    <t>TC_CEF_003</t>
  </si>
  <si>
    <t>PIM - Add Employee / Login Credentials</t>
  </si>
  <si>
    <t>Create Employee With Enabled Login Credentials</t>
  </si>
  <si>
    <t xml:space="preserve">1. Add a new employee
2. Toggle "Create Login Details"
3. Enter a username and password
4. Set status to Enabled
5. Save
6. Log out
7. Log back in as the new user</t>
  </si>
  <si>
    <t>Faker-generated unique name, username, and password</t>
  </si>
  <si>
    <t>The new user logs in successfully and their own profile name is visible</t>
  </si>
  <si>
    <t>Password always contains a digit (the form silently refuses one without). Employee and user deleted by teardown (deleting the employee removes the user).</t>
  </si>
  <si>
    <t>TC_CEF_004</t>
  </si>
  <si>
    <t>Negative</t>
  </si>
  <si>
    <t>Create Employee With Disabled Login Credentials</t>
  </si>
  <si>
    <t xml:space="preserve">1. Add a new employee
2. Toggle "Create Login Details"
3. Enter a username and password
4. Set status to Disabled
5. Save
6. Log out
7. Attempt to log in as the new user</t>
  </si>
  <si>
    <t>Login is rejected with an "Account disabled" message</t>
  </si>
  <si>
    <t>Same as TC_CEF_003: digit in the password, employee and user deleted by teardown.</t>
  </si>
  <si>
    <t>TC_CEF_005</t>
  </si>
  <si>
    <t>Add Employee Shows Required Field Errors When Name Is Blank</t>
  </si>
  <si>
    <t xml:space="preserve">1. Log in
2. Navigate to PIM &gt; Add Employee
3. Leave First Name and Last Name blank
4. Click Save</t>
  </si>
  <si>
    <t>n/a (form submitted blank on purpose)</t>
  </si>
  <si>
    <t>A "Required" validation message appears under both First Name and Last Name</t>
  </si>
  <si>
    <t>Soft assertions for the two field errors; creates no data, so nothing to clean up</t>
  </si>
  <si>
    <t>TC_CEF_006</t>
  </si>
  <si>
    <t>Low</t>
  </si>
  <si>
    <t>Cancel Add Employee Returns To Employee List</t>
  </si>
  <si>
    <t xml:space="preserve">1. Log in
2. Navigate to PIM &gt; Add Employee
3. Click Cancel</t>
  </si>
  <si>
    <t>User is returned to the Employee List (the "Add" button is visible again)</t>
  </si>
  <si>
    <t>Creates no data</t>
  </si>
  <si>
    <t>TC_EEF_001</t>
  </si>
  <si>
    <t>PIM - Edit Employee</t>
  </si>
  <si>
    <t>Edit Employee Name Fields</t>
  </si>
  <si>
    <t xml:space="preserve">1. Create a new employee (via the API)
2. Open that employee's Personal Details page
3. Edit First Name and Last Name
4. Click Save
5. Reload the page</t>
  </si>
  <si>
    <t>Faker-generated unique name for creation; edited values prefixed "Edited"</t>
  </si>
  <si>
    <t>"Successfully Updated" toast appears; the reloaded page shows the edited name</t>
  </si>
  <si>
    <t>tests/EditEmployeeTest.spec.ts</t>
  </si>
  <si>
    <t>Employee created via the API and deleted by teardown. Waits for network idle before editing (the form re-populates after load).</t>
  </si>
  <si>
    <t>TC_SEF_001</t>
  </si>
  <si>
    <t>PIM - Search Employee</t>
  </si>
  <si>
    <t>Search Employee By Name Shows Matching Result</t>
  </si>
  <si>
    <t xml:space="preserve">1. Create a new employee (via the API)
2. Navigate to PIM Employee List
3. Search by the employee's last name</t>
  </si>
  <si>
    <t>Faker-generated unique last name (single word, for a reliable autocomplete match)</t>
  </si>
  <si>
    <t>Exactly one row matching the searched employee is shown</t>
  </si>
  <si>
    <t>tests/SearchEmployeeTest.spec.ts</t>
  </si>
  <si>
    <t>Employee created via the API and deleted by teardown. Last name has a random suffix so "exactly one match" holds on a list of hundreds.</t>
  </si>
  <si>
    <t>TC_DEF_001</t>
  </si>
  <si>
    <t>PIM - Delete Employee</t>
  </si>
  <si>
    <t>Delete Employee</t>
  </si>
  <si>
    <t xml:space="preserve">1. Create a new employee (via the API)
2. Search for them by last name in the Employee List
3. Click the row's delete icon
4. Confirm "Yes, Delete"
5. Navigate directly to the employee's (former) Personal Details URL</t>
  </si>
  <si>
    <t>Faker-generated unique name</t>
  </si>
  <si>
    <t>"Successfully Deleted" toast appears; the employee's URL now shows "No Records Found"</t>
  </si>
  <si>
    <t>tests/DeleteEmployeeTest.spec.ts</t>
  </si>
  <si>
    <t>Only ever deletes the employee it created. Teardown then finds nothing left, which proves cleanup is safe on already-deleted data.</t>
  </si>
  <si>
    <t>TC_TDS_001</t>
  </si>
  <si>
    <t>Unit</t>
  </si>
  <si>
    <t>Test Data Safety (offline)</t>
  </si>
  <si>
    <t>A Generated Employee Id Is Valid, Recognised As Ours, And Fresh</t>
  </si>
  <si>
    <t xml:space="preserve">1. Generate an Employee Id
2. Check its length, whether it is recognised as a test id, and whether it is stale</t>
  </si>
  <si>
    <t>n/a (in-memory)</t>
  </si>
  <si>
    <t>Exactly 10 characters (the server limit), recognised as ours, not stale</t>
  </si>
  <si>
    <t>tests/TestDataSafetyTest.spec.ts</t>
  </si>
  <si>
    <t>No browser or network</t>
  </si>
  <si>
    <t>TC_TDS_002</t>
  </si>
  <si>
    <t>An Id Becomes Stale Exactly At The Age Threshold, Not Before</t>
  </si>
  <si>
    <t xml:space="preserve">1. Generate ids stamped just under and exactly at the stale threshold
2. Check staleness of each</t>
  </si>
  <si>
    <t>Just under the threshold: not stale. Exactly at it: stale.</t>
  </si>
  <si>
    <t>Boundary test of the purge's age rule</t>
  </si>
  <si>
    <t>TC_TDS_003</t>
  </si>
  <si>
    <t>Ids That Are Not Ours Are Never Recognised</t>
  </si>
  <si>
    <t>1. Check ordinary ids, empty/null ids, wrong-length ids, wrong-case prefixes, and ids with the prefix not at the start</t>
  </si>
  <si>
    <t>None is treated as a test id or as stale</t>
  </si>
  <si>
    <t>Guards against deleting other people's data</t>
  </si>
  <si>
    <t>TC_TDS_004</t>
  </si>
  <si>
    <t>Generated Ids Are Unique</t>
  </si>
  <si>
    <t>1. Generate 500 ids within the same time unit</t>
  </si>
  <si>
    <t>All 500 are distinct</t>
  </si>
  <si>
    <t>TC_TDS_005</t>
  </si>
  <si>
    <t>An Id Stamped In The Future Is Never Treated As Stale</t>
  </si>
  <si>
    <t xml:space="preserve">1. Generate an id stamped in the future
2. Check staleness</t>
  </si>
  <si>
    <t>Recognised as a test id but never stale (clock skew, or not ours - leave it)</t>
  </si>
  <si>
    <t>TC_TDS_006</t>
  </si>
  <si>
    <t>Purge Deletes Only Stale Test Employees</t>
  </si>
  <si>
    <t xml:space="preserve">1. Fake store holds a stale test employee, a fresh one, someone else's, a look-alike name containing QAR, and one with no id
2. Run the purge</t>
  </si>
  <si>
    <t>n/a (fake store)</t>
  </si>
  <si>
    <t>Only the stale test employee is deleted; everything else survives</t>
  </si>
  <si>
    <t>Mutation-checked: trusting the server's substring match makes this fail</t>
  </si>
  <si>
    <t>TC_TDS_007</t>
  </si>
  <si>
    <t>Purge Refuses To Delete Anything When There Are Suspiciously Many Matches</t>
  </si>
  <si>
    <t xml:space="preserve">1. Fake store holds more stale test employees than the safety cap
2. Run the purge</t>
  </si>
  <si>
    <t>Nothing is deleted and the refusal is reported</t>
  </si>
  <si>
    <t>Mutation-checked: removing the cap makes this fail</t>
  </si>
  <si>
    <t>TC_TDS_008</t>
  </si>
  <si>
    <t>Cleanup Deletes Only What This Test Created</t>
  </si>
  <si>
    <t xml:space="preserve">1. Create an employee through TestData; the store also holds another run's marked employee and someone else's
2. Run cleanup</t>
  </si>
  <si>
    <t>Only this test's employee is deleted</t>
  </si>
  <si>
    <t>TC_TDS_009</t>
  </si>
  <si>
    <t>Cleanup Is Safe When There Is Nothing To Delete, And Safe To Run Twice</t>
  </si>
  <si>
    <t xml:space="preserve">1. Issue an id that is never used and create one employee
2. Run cleanup twice</t>
  </si>
  <si>
    <t>First run deletes one; second deletes none; nothing throws</t>
  </si>
  <si>
    <t>Covers a test that fails before saving, and a test that already deleted its own data</t>
  </si>
  <si>
    <t>TC_TDS_010</t>
  </si>
  <si>
    <t>A Failing Cleanup Never Throws, And Reports What It Could Not Remove</t>
  </si>
  <si>
    <t xml:space="preserve">1. Create an employee and make every delete fail
2. Run cleanup</t>
  </si>
  <si>
    <t>Cleanup retries, does not throw, and reports the employee as leaked for the next purge</t>
  </si>
  <si>
    <t>TC_UCF_001</t>
  </si>
  <si>
    <t>Admin - User Management / Add User</t>
  </si>
  <si>
    <t>Create ESS User With Enabled Status</t>
  </si>
  <si>
    <t xml:space="preserve">1. Create a new employee (via the API)
2. Go to Admin &gt; User Management and click Add
3. Select User Role ESS and Status Enabled
4. Pick the new employee, enter a username, password and confirm password
5. Click Save
6. Search the user list by that username</t>
  </si>
  <si>
    <t>Self-created employee (unique random last name); generated username and password</t>
  </si>
  <si>
    <t>"Successfully Saved" toast appears; the list shows "(1) Record Found" with that username, role ESS, the employee's name, and status Enabled</t>
  </si>
  <si>
    <t>tests/AddUserTest.spec.ts</t>
  </si>
  <si>
    <t>Employee created via the API; teardown deletes it and the user goes with it (verified live), so the user needs no cleanup of its own.</t>
  </si>
  <si>
    <t>TC_UCF_002</t>
  </si>
  <si>
    <t>Create Admin User With Disabled Status</t>
  </si>
  <si>
    <t xml:space="preserve">1. Create a new employee (via the API)
2. Go to Admin &gt; User Management and click Add
3. Select User Role Admin and Status Disabled
4. Pick the new employee, enter a username, password and confirm password
5. Click Save
6. Search the user list by that username</t>
  </si>
  <si>
    <t>Self-created employee; generated username and password</t>
  </si>
  <si>
    <t>"Successfully Saved" toast appears; the list shows that user with role Admin and status Disabled</t>
  </si>
  <si>
    <t>Creates an account with Admin privileges, but Disabled and with a random password. Teardown deletes the employee and the user goes with it (cascade verified live for an Admin-role, Disabled user). Written out in full rather than shared with TC_UCF_001, so each test reads on its own.</t>
  </si>
  <si>
    <t>TC_UCF_003</t>
  </si>
  <si>
    <t>Add User Shows Required Field Errors When Form Is Blank</t>
  </si>
  <si>
    <t xml:space="preserve">1. Log in
2. Go to Admin &gt; User Management and click Add
3. Confirm no field shows a validation message yet
4. Leave every field empty and click Save
5. Check each field's message
6. Check the page is still the Add User form and no success toast appeared</t>
  </si>
  <si>
    <t>User Role, Employee Name, Status, Username and Password each show "Required"; Confirm Password shows "Passwords do not match" (verified live - not "Required"). The page stays on the Add User form and no success toast appears (nothing was saved).</t>
  </si>
  <si>
    <t>Creates no data, so nothing to clean up (a manual probe also saw no create request; the test itself checks the URL and toast, not network traffic). Verified live before automating; the plan's assumption that Confirm Password says "Required" was wrong. One poll-based assertion over a field -&gt; message object, so a failure names the field. The Confirm Password wording looks odd for an empty field (possible app quirk) - asserted as observed; if the app changes it the test fails on purpose for a person to decide.</t>
  </si>
  <si>
    <t>TC_UCF_004</t>
  </si>
  <si>
    <t>Password And Confirm Password Mismatch Is Rejected</t>
  </si>
  <si>
    <t xml:space="preserve">1. Create an employee through the API (the form needs a real one)
2. Log in, go to Admin &gt; User Management and click Add
3. Fill every field validly, but make Confirm Password differ from Password
4. Check only Confirm Password shows a message
5. Click Save
6. Check the page is still the form, the message remains, and no success toast appeared
7. Search the User Management list for the username</t>
  </si>
  <si>
    <t>Self-created employee; generated username; Password = a generated password, Confirm Password = the same value with an extra character</t>
  </si>
  <si>
    <t>Confirm Password shows "Passwords do not match" and no other field shows an error. Save does not go through: the page stays on the Add User form with no success toast. Searching the list for that username returns "No Records Found" (no user was created).</t>
  </si>
  <si>
    <t>Verified live before automating: the message appears as soon as the value is typed (not only on Save), is case-sensitive (a case-only difference still mismatches), and clears when the two match again; Save sent no create request. The employee is created through the API and deleted by teardown (which would also remove a wrongly created user). The test asserts only the extra-character mismatch; case-sensitivity was observed, not tested. Password minimum length and other password rules were NOT verified here (out of scope for this case).</t>
  </si>
  <si>
    <t>TC_UCF_005</t>
  </si>
  <si>
    <t>Username Shorter Than Minimum Length Is Rejected</t>
  </si>
  <si>
    <t xml:space="preserve">1. Create an employee through the API (the form needs a real one)
2. Log in, go to Admin &gt; User Management and click Add
3. Fill every field validly, but use a 4-character username
4. Check only Username shows a message
5. Click Save
6. Check the page is still the form, the message remains, and no success toast appeared
7. Change the username to 5 characters and check no field shows an error
8. Search the User Management list for the 4-character username</t>
  </si>
  <si>
    <t>Self-created employee; a 4-character username and then a 5-character one, both cut from a generated random value (different every run)</t>
  </si>
  <si>
    <t>With a 4-character username, only Username shows "Should be at least 5 characters". Save does not go through: the page stays on the Add User form with no success toast. A 5-character username clears the message and the form has no errors (the minimum is exactly 5). Searching the list for the 4-character username returns "No Records Found".</t>
  </si>
  <si>
    <t>Verified live before automating: lengths 1-4 show the message, 5 and 6 and 40 are accepted, 41 shows "Should not exceed 40 characters" (the maximum is NOT tested here); the message appears as soon as the value is typed, not only on Save; Save sent no create request. The employee is created through the API and deleted by teardown (which would also remove a wrongly created user). The 5-character step presses Tab after typing: one run in ten showed the old message staying on screen for a minute without it. The no-user list check can pass while a create request is still in flight if nothing sits between Save and the search; in this test other steps sit between, and the Username message assertion before Save is the main guard.</t>
  </si>
  <si>
    <t>TC_UCF_006</t>
  </si>
  <si>
    <t>Duplicate Username Is Rejected</t>
  </si>
  <si>
    <t xml:space="preserve">1. Create two employees through the API
2. Create a user for the first employee through the API
3. Log in, go to Admin &gt; User Management and click Add
4. Fill every field validly for the SECOND employee, but reuse the first user's username
5. Check only Username shows a message
6. Click Save
7. Check the page is still the form, the message remains, and no success toast appeared
8. Search the User Management list for that username</t>
  </si>
  <si>
    <t>Two self-created employees; one generated username (used for the first user, then typed again for the second); one generated valid password</t>
  </si>
  <si>
    <t>Username shows "Already exists" and no other field shows an error. Save does not go through: the page stays on the Add User form with no success toast. Searching the list for that username shows exactly one record, ESS / Enabled, belonging to the FIRST employee.</t>
  </si>
  <si>
    <t>Verified live before automating: the message "Already exists" appears as soon as the username is typed (the app asks the server; Save is not needed), the check is case-insensitive (the upper-case form is also taken - observed, not tested), a different username clears it, and Save sent no create request. The first user is created through the API (new OrangeHrmApi.createEssUser / TestData.createUser, using the exact request the form sends, ESS and Enabled only); both employees are deleted by teardown, which removes the user too (verified for an API-created user). The not-created check is the exactly-one-record list result, which can pass while a create is still in flight if nothing sits between Save and the search; the Username message assertion before Save is the main guard.</t>
  </si>
  <si>
    <t>TC_UCF_007</t>
  </si>
  <si>
    <t>Cancel Add User Returns To User List</t>
  </si>
  <si>
    <t xml:space="preserve">1. Create an employee through the API (the form needs a real one)
2. Log in, go to Admin &gt; User Management and click Add
3. Fill every field validly (ESS, Enabled) but do not save
4. Click Cancel
5. Check the page is the User Management list, not the form
6. Search the list for the username
7. Click Add again and check the form is blank</t>
  </si>
  <si>
    <t>Self-created employee; a generated username and a generated valid password, typed into the form and then abandoned</t>
  </si>
  <si>
    <t>Cancel returns to /admin/viewSystemUsers: the list's Add button is shown and the form's Save button is gone. Searching for the username returns "No Records Found" (the cancelled user was not created). Reopening the Add User form shows empty Username, Password and Confirm Password.</t>
  </si>
  <si>
    <t>Verified live before automating: Cancel goes straight to the list with no confirmation dialog even when data is typed in, sends no create request, and a reopened form starts blank. The form is filled COMPLETELY so that "no user created" means something - a half-empty form could never be saved anyway. The employee is created through the API and deleted by teardown. The user count on the list is deliberately not checked: the demo is shared and it changes whenever anyone adds a user. Note the "back on the list" check alone would also pass if Save were clicked (Save also lands on the list); the no-user check is what separates them.</t>
  </si>
  <si>
    <t>TC_UCF_008</t>
  </si>
  <si>
    <t>Create User With Minimum-Length 5-Character Username</t>
  </si>
  <si>
    <t xml:space="preserve">1. Create an employee through the API (the form needs a real one)
2. Log in, go to Admin &gt; User Management and click Add
3. Fill every field validly with a 5-character username (ESS, Enabled)
4. Click Save
5. Check the success toast
6. Search the User Management list for the username and check the row</t>
  </si>
  <si>
    <t>Self-created employee; a 5-character username cut from a generated random value (different every run); a generated valid password used for both password fields</t>
  </si>
  <si>
    <t>The user is saved: the toast "Successfully Saved" appears and the list shows exactly one row for that username with User Role ESS, the employee's name, and Status Enabled.</t>
  </si>
  <si>
    <t>Added after TC_UCF_005, which proves 4 characters is rejected and 5 clears the message but never saves the 5 - this saves it, so the minimum rests on a real save. Numbered after the planned TC_UCF_006/007 so the plan is not renumbered. Verified live before automating: the save sends the real create request, and deleting the employee afterwards removes this user too (the list then reports "No Records Found" for it). The employee is created through the API and deleted by teardown.</t>
  </si>
  <si>
    <t>TC_USF_001</t>
  </si>
  <si>
    <t>Admin - User Management / Search User</t>
  </si>
  <si>
    <t>Search Users By Username Shows The Matching User And Reset Restores The List</t>
  </si>
  <si>
    <t xml:space="preserve">1. Create an employee and a user for it through the API
2. Log in, go to Admin &gt; User Management
3. Enter the username in the search box and click Search
4. Check exactly one record is shown, with the user's role, employee name and status
5. Click Reset
6. Check the search box is empty and the list is no longer filtered</t>
  </si>
  <si>
    <t>Self-created employee and ESS / Enabled user (generated username)</t>
  </si>
  <si>
    <t>Search shows "(1) Record Found" with that user's row (ESS, the employee's name, Enabled). Reset empties the search box and the list shows more than one record again.</t>
  </si>
  <si>
    <t>tests/SearchUserTest.spec.ts</t>
  </si>
  <si>
    <t>The employee and user are created through the API (TestData.createEmployee / createUser) and the employee is deleted by teardown, which removes the user. Verified live before automating: Search gives "(1) Record Found" with that single row; Reset empties the search box and brings the full list back. The total is NOT asserted - it was 33 users one day and 27 another because the demo is shared - only that it is two or more. The page text has a leading space (" (33) Records Found"), so the regex allows for it (a string match trims it, a regex does not). The Reset check cannot pass early: right after a search the text still says "(1) Record Found" and the assertion waits until it does not.</t>
  </si>
  <si>
    <t>TC_USF_002</t>
  </si>
  <si>
    <t>Search For A Username That Does Not Exist Shows No Records</t>
  </si>
  <si>
    <t xml:space="preserve">1. Log in, go to Admin &gt; User Management
2. Enter a generated username that no user has
3. Click Search
4. Check the table's message, the records count text and the table rows</t>
  </si>
  <si>
    <t>A generated username (qar_ + random) that is only generated, never saved, so no user can have it</t>
  </si>
  <si>
    <t>The table shows "No Records Found", the "(N) Records Found" count text is gone, and no data row is left (only the table's header row).</t>
  </si>
  <si>
    <t>Creates no data, so nothing to clean up. Verified live before automating: the words "No Records Found" appear twice - as the table's own &lt;span&gt; and as a fading info toast &lt;p&gt; - so the test asserts on the table's message (filtered by tag), not the toast; the count text disappears; only the header row remains; the search box keeps the typed value. Also observed, NOT asserted: searching "Admi" (part of the existing "Admin") finds nothing - the username search is an exact match, not "starts with". The number of users is never checked: it was 33, then 27, then 4 on different days. Partly exercised before by the not-created checks in TC_UCF_004/005/007, but not as the subject of a test.</t>
  </si>
  <si>
    <t>TC_USF_003</t>
  </si>
  <si>
    <t>Filtering By User Role And Status Narrows The Search</t>
  </si>
  <si>
    <t xml:space="preserve">1. Create an employee and an ESS / Enabled user through the API
2. Log in, go to Admin &gt; User Management
3. Search the username with User Role = ESS and Status = Enabled; check the user is listed
4. Search the same username with Status = Disabled; check no records are found
5. Search again with ESS and Enabled; check the user is listed again
6. Search the same username with User Role = Admin; check no records are found</t>
  </si>
  <si>
    <t>Self-created ESS / Enabled user; the same username searched with ESS+Enabled, ESS+Disabled, ESS+Enabled, Admin+Enabled</t>
  </si>
  <si>
    <t>The user is found with its own role and status, and NOT found when the Status filter is Disabled or when the User Role filter is Admin. Putting the matching filters back finds the user again. Each "none" shows the table's "No Records Found" with no row.</t>
  </si>
  <si>
    <t>The employee and user are created through the API and deleted by teardown. Verified live before automating: the list's User Role dropdown offers Admin / ESS and Status offers Enabled / Disabled (both found by label with the same helpers as the Add User form); with the username they narrow the result exactly as above; a dropdown keeps its last value between searches, so every search sets both; Reset clears the dropdowns too. The order alternates found / none / found / none ON PURPOSE: shown by mutation that two "none" results in a row, with the second search skipped, PASS WRONGLY on the previous result's message still being on screen. Only filters combined with the username are tested; a role or status filter alone is not (it returns other people's users, whose number changes).</t>
  </si>
  <si>
    <t>TC_UEF_001</t>
  </si>
  <si>
    <t>Admin - User Management / Edit User</t>
  </si>
  <si>
    <t>Edit User Status From Enabled To Disabled</t>
  </si>
  <si>
    <t xml:space="preserve">1. Create an employee and an ESS / Enabled user through the API
2. Log in, go to Admin &gt; User Management and search the username
3. Click the row's edit (pencil) button
4. Change Status to Disabled and click Save
5. Check the success toast
6. Search the username again and check the row shows Disabled</t>
  </si>
  <si>
    <t>Self-created ESS / Enabled user</t>
  </si>
  <si>
    <t>The success toast appears and the list shows the user with Status Disabled (other columns unchanged).</t>
  </si>
  <si>
    <t>Planned</t>
  </si>
  <si>
    <t>tests/EditUserTest.spec.ts (planned)</t>
  </si>
  <si>
    <t>Planned, not automated yet. To verify live: the edit form's fields, which are locked, the toast text, and whether saving needs the password. Seen live: the row's edit and delete icons are buttons with NO accessible name (only icon classes bi-pencil-fill / bi-trash), so they need an icon-based locator with a comment.</t>
  </si>
  <si>
    <t>TC_UEF_002</t>
  </si>
  <si>
    <t>Editing A User To A Username That Is Already Taken Is Rejected</t>
  </si>
  <si>
    <t xml:space="preserve">1. Create two employees and one user each through the API
2. Log in, search the second user and open its edit form
3. Change the username to the first user's username
4. Click Save</t>
  </si>
  <si>
    <t>Two self-created users with different generated usernames</t>
  </si>
  <si>
    <t>Username shows "Already exists" (as on the Add User form), the page stays on the edit form, and the second user keeps its original username.</t>
  </si>
  <si>
    <t>Planned, not automated yet. To verify live whether the edit form checks uniqueness the same way as the Add User form ("Already exists" appeared as soon as the value was typed there).</t>
  </si>
  <si>
    <t>TC_UDF_001</t>
  </si>
  <si>
    <t>Admin - User Management / Delete User</t>
  </si>
  <si>
    <t>Delete A User From The List</t>
  </si>
  <si>
    <t xml:space="preserve">1. Create an employee and a user for it through the API
2. Log in, go to Admin &gt; User Management and search the username
3. Click the row's delete (trash) button
4. Confirm the deletion in the dialog
5. Search the username again</t>
  </si>
  <si>
    <t>A success toast appears and searching the username then returns "No Records Found". The employee still exists (only the user is deleted).</t>
  </si>
  <si>
    <t>tests/DeleteUserTest.spec.ts (planned)</t>
  </si>
  <si>
    <t>Planned, not automated yet. Deletes only a user this test created. To verify live: the confirmation dialog's text and buttons (my first probe's dialog locator did not match, so they are not known yet) and the toast text.</t>
  </si>
  <si>
    <t>TC_UDF_002</t>
  </si>
  <si>
    <t>Cancelling The Delete Confirmation Keeps The User</t>
  </si>
  <si>
    <t xml:space="preserve">1. Create an employee and a user for it through the API
2. Log in, search the username and click the row's delete button
3. Click "No, Cancel" in the dialog
4. Check the dialog closed and the user is still listed</t>
  </si>
  <si>
    <t>The dialog closes, no success toast appears, and the user is still listed with the same values.</t>
  </si>
  <si>
    <t>Planned, not automated yet. To verify live: the dialog's cancel button name ("No, Cancel" is the expected wording, unconfirmed).</t>
  </si>
  <si>
    <t>TC_LOGIN_002</t>
  </si>
  <si>
    <t>Login With A Wrong Password Shows Invalid Credentials</t>
  </si>
  <si>
    <t xml:space="preserve">1. Open the login page
2. Enter the admin username and a wrong password
3. Click Login</t>
  </si>
  <si>
    <t>The configured admin username; a generated wrong password</t>
  </si>
  <si>
    <t>An "Invalid credentials" alert appears and the page stays on the login page.</t>
  </si>
  <si>
    <t>tests/Login.spec.ts (planned)</t>
  </si>
  <si>
    <t>Planned, not automated yet. Creates no data. A wrong USERNAME was seen live to show "Invalid credentials"; the wrong-password alert still has to be confirmed (my probe read it too early and got nothing).</t>
  </si>
  <si>
    <t>TC_LOGIN_003</t>
  </si>
  <si>
    <t>Login With Blank Username And Password Shows Required Errors</t>
  </si>
  <si>
    <t xml:space="preserve">1. Open the login page
2. Leave both fields empty
3. Click Login</t>
  </si>
  <si>
    <t>"Required" appears under both Username and Password and the page stays on the login page.</t>
  </si>
  <si>
    <t>Planned, not automated yet. Creates no data. Seen live: two "Required" messages, URL stays /auth/login.</t>
  </si>
  <si>
    <t>TC_LOGIN_004</t>
  </si>
  <si>
    <t>Logout Returns To The Login Page</t>
  </si>
  <si>
    <t xml:space="preserve">1. Log in
2. Open the profile menu in the top bar
3. Click Logout</t>
  </si>
  <si>
    <t>The configured admin login</t>
  </si>
  <si>
    <t>The login page is shown (login heading visible, URL is the login URL) and the Dashboard is no longer reachable without logging in again.</t>
  </si>
  <si>
    <t>Planned, not automated yet. Creates no data. CommonActions.isLoggedOut() already clicks through this flow (used by TC_CEF_003/004), but no test has it as its subject. To verify live whether the Dashboard URL redirects to login afterwards.</t>
  </si>
  <si>
    <t>OrangeHRM Playwright Test Suite - Summary</t>
  </si>
  <si>
    <t>Total test cases</t>
  </si>
  <si>
    <t>Planned (not automated yet)</t>
  </si>
  <si>
    <t>Type</t>
  </si>
  <si>
    <t>Total</t>
  </si>
  <si>
    <t>All types</t>
  </si>
  <si>
    <t>Generated by `pnpm docs:sync` from docs/test-suite/test-cases.json - edit that file, not this sheet. Planned cases' types are provisional until each is automated. 'All types' should equal Total test cases above; if not, a case has a Type outside the listed 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</si>
</sst>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1"/>
      <name val="Arial"/>
    </font>
    <font>
      <sz val="10"/>
      <name val="Arial"/>
    </font>
    <font>
      <b/>
      <sz val="14"/>
      <name val="Arial"/>
    </font>
    <font>
      <sz val="11"/>
      <name val="Arial"/>
    </font>
    <font>
      <b/>
      <sz val="11"/>
      <name val="Arial"/>
    </font>
    <font>
      <i/>
      <sz val="9"/>
      <name val="Arial"/>
    </font>
  </fonts>
  <fills count="8">
    <fill>
      <patternFill patternType="none"/>
    </fill>
    <fill>
      <patternFill patternType="gray125"/>
    </fill>
    <fill>
      <patternFill patternType="solid">
        <fgColor rgb="FF1F4E78"/>
        <bgColor rgb="FF1F4E78"/>
      </patternFill>
    </fill>
    <fill>
      <patternFill patternType="solid">
        <fgColor rgb="FFD9EAD3"/>
        <bgColor rgb="FFD9EAD3"/>
      </patternFill>
    </fill>
    <fill>
      <patternFill patternType="solid">
        <fgColor rgb="FFFFF2CC"/>
        <bgColor rgb="FFFFF2CC"/>
      </patternFill>
    </fill>
    <fill>
      <patternFill patternType="solid">
        <fgColor rgb="FFCFE2F3"/>
        <bgColor rgb="FFCFE2F3"/>
      </patternFill>
    </fill>
    <fill>
      <patternFill patternType="solid">
        <fgColor rgb="FFF4CCCC"/>
        <bgColor rgb="FFF4CCCC"/>
      </patternFill>
    </fill>
    <fill>
      <patternFill patternType="solid">
        <fgColor rgb="FFE4DFEC"/>
        <bgColor rgb="FFE4DFE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0" borderId="0" xfId="0" applyFont="1"/>
    <xf numFmtId="0" fontId="4" fillId="0" borderId="0" xfId="0" applyFont="1"/>
    <xf numFmtId="0" fontId="5" fillId="0" borderId="0" xfId="0" applyFont="1"/>
    <xf numFmtId="0" fontId="6" fillId="0" borderId="0" xfId="0" applyFont="1" applyAlignment="1">
      <alignment vertical="top" wrapText="1"/>
    </xf>
  </cellXfs>
  <cellStyles count="1">
    <cellStyle name="Normal" xfId="0" builtinId="0"/>
  </cellStyles>
  <dxfs count="2">
    <dxf>
      <fill>
        <patternFill patternType="solid">
          <bgColor rgb="FFC6EFCE"/>
        </patternFill>
      </fill>
    </dxf>
    <dxf>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0"/>
  <sheetViews>
    <sheetView workbookViewId="0">
      <pane xSplit="1" ySplit="1" topLeftCell="B2" activePane="bottomRight" state="frozen"/>
      <selection pane="bottomRight"/>
    </sheetView>
  </sheetViews>
  <sheetFormatPr defaultRowHeight="15" outlineLevelRow="0" outlineLevelCol="0" x14ac:dyDescent="55"/>
  <cols>
    <col min="1" max="1" width="16" customWidth="1"/>
    <col min="2" max="2" width="10" customWidth="1"/>
    <col min="3" max="3" width="12" customWidth="1"/>
    <col min="4" max="4" width="30" customWidth="1"/>
    <col min="5" max="5" width="42" customWidth="1"/>
    <col min="6" max="6" width="55" customWidth="1"/>
    <col min="7" max="7" width="42" customWidth="1"/>
    <col min="8" max="8" width="58" customWidth="1"/>
    <col min="9" max="9" width="12" customWidth="1"/>
    <col min="10" max="10" width="34" customWidth="1"/>
    <col min="11" max="11" width="50" customWidth="1"/>
  </cols>
  <sheetData>
    <row r="1" ht="24" customHeight="1" spans="1:11" x14ac:dyDescent="0.25">
      <c r="A1" s="1" t="s">
        <v>0</v>
      </c>
      <c r="B1" s="1" t="s">
        <v>1</v>
      </c>
      <c r="C1" s="1" t="s">
        <v>2</v>
      </c>
      <c r="D1" s="1" t="s">
        <v>3</v>
      </c>
      <c r="E1" s="1" t="s">
        <v>4</v>
      </c>
      <c r="F1" s="1" t="s">
        <v>5</v>
      </c>
      <c r="G1" s="1" t="s">
        <v>6</v>
      </c>
      <c r="H1" s="1" t="s">
        <v>7</v>
      </c>
      <c r="I1" s="1" t="s">
        <v>8</v>
      </c>
      <c r="J1" s="1" t="s">
        <v>9</v>
      </c>
      <c r="K1" s="1" t="s">
        <v>10</v>
      </c>
    </row>
    <row r="2" ht="78" customHeight="1" spans="1:11" x14ac:dyDescent="0.25">
      <c r="A2" s="2" t="s">
        <v>11</v>
      </c>
      <c r="B2" s="2" t="s">
        <v>12</v>
      </c>
      <c r="C2" s="3" t="s">
        <v>13</v>
      </c>
      <c r="D2" s="4" t="s">
        <v>14</v>
      </c>
      <c r="E2" s="4" t="s">
        <v>15</v>
      </c>
      <c r="F2" s="4" t="s">
        <v>16</v>
      </c>
      <c r="G2" s="4" t="s">
        <v>17</v>
      </c>
      <c r="H2" s="4" t="s">
        <v>18</v>
      </c>
      <c r="I2" s="2" t="s">
        <v>19</v>
      </c>
      <c r="J2" s="4" t="s">
        <v>20</v>
      </c>
      <c r="K2" s="4" t="s">
        <v>21</v>
      </c>
    </row>
    <row r="3" ht="78" customHeight="1" spans="1:11" x14ac:dyDescent="0.25">
      <c r="A3" s="2" t="s">
        <v>22</v>
      </c>
      <c r="B3" s="2" t="s">
        <v>23</v>
      </c>
      <c r="C3" s="5" t="s">
        <v>24</v>
      </c>
      <c r="D3" s="4" t="s">
        <v>25</v>
      </c>
      <c r="E3" s="4" t="s">
        <v>26</v>
      </c>
      <c r="F3" s="4" t="s">
        <v>27</v>
      </c>
      <c r="G3" s="4" t="s">
        <v>28</v>
      </c>
      <c r="H3" s="4" t="s">
        <v>29</v>
      </c>
      <c r="I3" s="2" t="s">
        <v>19</v>
      </c>
      <c r="J3" s="4" t="s">
        <v>30</v>
      </c>
      <c r="K3" s="4" t="s">
        <v>21</v>
      </c>
    </row>
    <row r="4" ht="78" customHeight="1" spans="1:11" x14ac:dyDescent="0.25">
      <c r="A4" s="2" t="s">
        <v>31</v>
      </c>
      <c r="B4" s="2" t="s">
        <v>12</v>
      </c>
      <c r="C4" s="6" t="s">
        <v>32</v>
      </c>
      <c r="D4" s="4" t="s">
        <v>33</v>
      </c>
      <c r="E4" s="4" t="s">
        <v>34</v>
      </c>
      <c r="F4" s="4" t="s">
        <v>35</v>
      </c>
      <c r="G4" s="4" t="s">
        <v>36</v>
      </c>
      <c r="H4" s="4" t="s">
        <v>37</v>
      </c>
      <c r="I4" s="2" t="s">
        <v>19</v>
      </c>
      <c r="J4" s="4" t="s">
        <v>38</v>
      </c>
      <c r="K4" s="4" t="s">
        <v>39</v>
      </c>
    </row>
    <row r="5" ht="78" customHeight="1" spans="1:11" x14ac:dyDescent="0.25">
      <c r="A5" s="2" t="s">
        <v>40</v>
      </c>
      <c r="B5" s="2" t="s">
        <v>23</v>
      </c>
      <c r="C5" s="6" t="s">
        <v>32</v>
      </c>
      <c r="D5" s="4" t="s">
        <v>33</v>
      </c>
      <c r="E5" s="4" t="s">
        <v>41</v>
      </c>
      <c r="F5" s="4" t="s">
        <v>42</v>
      </c>
      <c r="G5" s="4" t="s">
        <v>43</v>
      </c>
      <c r="H5" s="4" t="s">
        <v>37</v>
      </c>
      <c r="I5" s="2" t="s">
        <v>19</v>
      </c>
      <c r="J5" s="4" t="s">
        <v>38</v>
      </c>
      <c r="K5" s="4" t="s">
        <v>39</v>
      </c>
    </row>
    <row r="6" ht="78" customHeight="1" spans="1:11" x14ac:dyDescent="0.25">
      <c r="A6" s="2" t="s">
        <v>44</v>
      </c>
      <c r="B6" s="2" t="s">
        <v>12</v>
      </c>
      <c r="C6" s="6" t="s">
        <v>32</v>
      </c>
      <c r="D6" s="4" t="s">
        <v>45</v>
      </c>
      <c r="E6" s="4" t="s">
        <v>46</v>
      </c>
      <c r="F6" s="4" t="s">
        <v>47</v>
      </c>
      <c r="G6" s="4" t="s">
        <v>48</v>
      </c>
      <c r="H6" s="4" t="s">
        <v>49</v>
      </c>
      <c r="I6" s="2" t="s">
        <v>19</v>
      </c>
      <c r="J6" s="4" t="s">
        <v>38</v>
      </c>
      <c r="K6" s="4" t="s">
        <v>50</v>
      </c>
    </row>
    <row r="7" ht="78" customHeight="1" spans="1:11" x14ac:dyDescent="0.25">
      <c r="A7" s="2" t="s">
        <v>51</v>
      </c>
      <c r="B7" s="2" t="s">
        <v>12</v>
      </c>
      <c r="C7" s="7" t="s">
        <v>52</v>
      </c>
      <c r="D7" s="4" t="s">
        <v>45</v>
      </c>
      <c r="E7" s="4" t="s">
        <v>53</v>
      </c>
      <c r="F7" s="4" t="s">
        <v>54</v>
      </c>
      <c r="G7" s="4" t="s">
        <v>48</v>
      </c>
      <c r="H7" s="4" t="s">
        <v>55</v>
      </c>
      <c r="I7" s="2" t="s">
        <v>19</v>
      </c>
      <c r="J7" s="4" t="s">
        <v>38</v>
      </c>
      <c r="K7" s="4" t="s">
        <v>56</v>
      </c>
    </row>
    <row r="8" ht="78" customHeight="1" spans="1:11" x14ac:dyDescent="0.25">
      <c r="A8" s="2" t="s">
        <v>57</v>
      </c>
      <c r="B8" s="2" t="s">
        <v>23</v>
      </c>
      <c r="C8" s="7" t="s">
        <v>52</v>
      </c>
      <c r="D8" s="4" t="s">
        <v>33</v>
      </c>
      <c r="E8" s="4" t="s">
        <v>58</v>
      </c>
      <c r="F8" s="4" t="s">
        <v>59</v>
      </c>
      <c r="G8" s="4" t="s">
        <v>60</v>
      </c>
      <c r="H8" s="4" t="s">
        <v>61</v>
      </c>
      <c r="I8" s="2" t="s">
        <v>19</v>
      </c>
      <c r="J8" s="4" t="s">
        <v>38</v>
      </c>
      <c r="K8" s="4" t="s">
        <v>62</v>
      </c>
    </row>
    <row r="9" ht="78" customHeight="1" spans="1:11" x14ac:dyDescent="0.25">
      <c r="A9" s="2" t="s">
        <v>63</v>
      </c>
      <c r="B9" s="2" t="s">
        <v>64</v>
      </c>
      <c r="C9" s="6" t="s">
        <v>32</v>
      </c>
      <c r="D9" s="4" t="s">
        <v>33</v>
      </c>
      <c r="E9" s="4" t="s">
        <v>65</v>
      </c>
      <c r="F9" s="4" t="s">
        <v>66</v>
      </c>
      <c r="G9" s="4" t="s">
        <v>28</v>
      </c>
      <c r="H9" s="4" t="s">
        <v>67</v>
      </c>
      <c r="I9" s="2" t="s">
        <v>19</v>
      </c>
      <c r="J9" s="4" t="s">
        <v>38</v>
      </c>
      <c r="K9" s="4" t="s">
        <v>68</v>
      </c>
    </row>
    <row r="10" ht="78" customHeight="1" spans="1:11" x14ac:dyDescent="0.25">
      <c r="A10" s="2" t="s">
        <v>69</v>
      </c>
      <c r="B10" s="2" t="s">
        <v>12</v>
      </c>
      <c r="C10" s="6" t="s">
        <v>32</v>
      </c>
      <c r="D10" s="4" t="s">
        <v>70</v>
      </c>
      <c r="E10" s="4" t="s">
        <v>71</v>
      </c>
      <c r="F10" s="4" t="s">
        <v>72</v>
      </c>
      <c r="G10" s="4" t="s">
        <v>73</v>
      </c>
      <c r="H10" s="4" t="s">
        <v>74</v>
      </c>
      <c r="I10" s="2" t="s">
        <v>19</v>
      </c>
      <c r="J10" s="4" t="s">
        <v>75</v>
      </c>
      <c r="K10" s="4" t="s">
        <v>76</v>
      </c>
    </row>
    <row r="11" ht="78" customHeight="1" spans="1:11" x14ac:dyDescent="0.25">
      <c r="A11" s="2" t="s">
        <v>77</v>
      </c>
      <c r="B11" s="2" t="s">
        <v>23</v>
      </c>
      <c r="C11" s="6" t="s">
        <v>32</v>
      </c>
      <c r="D11" s="4" t="s">
        <v>78</v>
      </c>
      <c r="E11" s="4" t="s">
        <v>79</v>
      </c>
      <c r="F11" s="4" t="s">
        <v>80</v>
      </c>
      <c r="G11" s="4" t="s">
        <v>81</v>
      </c>
      <c r="H11" s="4" t="s">
        <v>82</v>
      </c>
      <c r="I11" s="2" t="s">
        <v>19</v>
      </c>
      <c r="J11" s="4" t="s">
        <v>83</v>
      </c>
      <c r="K11" s="4" t="s">
        <v>84</v>
      </c>
    </row>
    <row r="12" ht="78" customHeight="1" spans="1:11" x14ac:dyDescent="0.25">
      <c r="A12" s="2" t="s">
        <v>85</v>
      </c>
      <c r="B12" s="2" t="s">
        <v>12</v>
      </c>
      <c r="C12" s="6" t="s">
        <v>32</v>
      </c>
      <c r="D12" s="4" t="s">
        <v>86</v>
      </c>
      <c r="E12" s="4" t="s">
        <v>87</v>
      </c>
      <c r="F12" s="4" t="s">
        <v>88</v>
      </c>
      <c r="G12" s="4" t="s">
        <v>89</v>
      </c>
      <c r="H12" s="4" t="s">
        <v>90</v>
      </c>
      <c r="I12" s="2" t="s">
        <v>19</v>
      </c>
      <c r="J12" s="4" t="s">
        <v>91</v>
      </c>
      <c r="K12" s="4" t="s">
        <v>92</v>
      </c>
    </row>
    <row r="13" ht="78" customHeight="1" spans="1:11" x14ac:dyDescent="0.25">
      <c r="A13" s="2" t="s">
        <v>93</v>
      </c>
      <c r="B13" s="2" t="s">
        <v>12</v>
      </c>
      <c r="C13" s="8" t="s">
        <v>94</v>
      </c>
      <c r="D13" s="4" t="s">
        <v>95</v>
      </c>
      <c r="E13" s="4" t="s">
        <v>96</v>
      </c>
      <c r="F13" s="4" t="s">
        <v>97</v>
      </c>
      <c r="G13" s="4" t="s">
        <v>98</v>
      </c>
      <c r="H13" s="4" t="s">
        <v>99</v>
      </c>
      <c r="I13" s="2" t="s">
        <v>19</v>
      </c>
      <c r="J13" s="4" t="s">
        <v>100</v>
      </c>
      <c r="K13" s="4" t="s">
        <v>101</v>
      </c>
    </row>
    <row r="14" ht="78" customHeight="1" spans="1:11" x14ac:dyDescent="0.25">
      <c r="A14" s="2" t="s">
        <v>102</v>
      </c>
      <c r="B14" s="2" t="s">
        <v>12</v>
      </c>
      <c r="C14" s="8" t="s">
        <v>94</v>
      </c>
      <c r="D14" s="4" t="s">
        <v>95</v>
      </c>
      <c r="E14" s="4" t="s">
        <v>103</v>
      </c>
      <c r="F14" s="4" t="s">
        <v>104</v>
      </c>
      <c r="G14" s="4" t="s">
        <v>98</v>
      </c>
      <c r="H14" s="4" t="s">
        <v>105</v>
      </c>
      <c r="I14" s="2" t="s">
        <v>19</v>
      </c>
      <c r="J14" s="4" t="s">
        <v>100</v>
      </c>
      <c r="K14" s="4" t="s">
        <v>106</v>
      </c>
    </row>
    <row r="15" ht="78" customHeight="1" spans="1:11" x14ac:dyDescent="0.25">
      <c r="A15" s="2" t="s">
        <v>107</v>
      </c>
      <c r="B15" s="2" t="s">
        <v>12</v>
      </c>
      <c r="C15" s="8" t="s">
        <v>94</v>
      </c>
      <c r="D15" s="4" t="s">
        <v>95</v>
      </c>
      <c r="E15" s="4" t="s">
        <v>108</v>
      </c>
      <c r="F15" s="4" t="s">
        <v>109</v>
      </c>
      <c r="G15" s="4" t="s">
        <v>98</v>
      </c>
      <c r="H15" s="4" t="s">
        <v>110</v>
      </c>
      <c r="I15" s="2" t="s">
        <v>19</v>
      </c>
      <c r="J15" s="4" t="s">
        <v>100</v>
      </c>
      <c r="K15" s="4" t="s">
        <v>111</v>
      </c>
    </row>
    <row r="16" ht="78" customHeight="1" spans="1:11" x14ac:dyDescent="0.25">
      <c r="A16" s="2" t="s">
        <v>112</v>
      </c>
      <c r="B16" s="2" t="s">
        <v>23</v>
      </c>
      <c r="C16" s="8" t="s">
        <v>94</v>
      </c>
      <c r="D16" s="4" t="s">
        <v>95</v>
      </c>
      <c r="E16" s="4" t="s">
        <v>113</v>
      </c>
      <c r="F16" s="4" t="s">
        <v>114</v>
      </c>
      <c r="G16" s="4" t="s">
        <v>98</v>
      </c>
      <c r="H16" s="4" t="s">
        <v>115</v>
      </c>
      <c r="I16" s="2" t="s">
        <v>19</v>
      </c>
      <c r="J16" s="4" t="s">
        <v>100</v>
      </c>
      <c r="K16" s="4" t="s">
        <v>21</v>
      </c>
    </row>
    <row r="17" ht="78" customHeight="1" spans="1:11" x14ac:dyDescent="0.25">
      <c r="A17" s="2" t="s">
        <v>116</v>
      </c>
      <c r="B17" s="2" t="s">
        <v>12</v>
      </c>
      <c r="C17" s="8" t="s">
        <v>94</v>
      </c>
      <c r="D17" s="4" t="s">
        <v>95</v>
      </c>
      <c r="E17" s="4" t="s">
        <v>117</v>
      </c>
      <c r="F17" s="4" t="s">
        <v>118</v>
      </c>
      <c r="G17" s="4" t="s">
        <v>98</v>
      </c>
      <c r="H17" s="4" t="s">
        <v>119</v>
      </c>
      <c r="I17" s="2" t="s">
        <v>19</v>
      </c>
      <c r="J17" s="4" t="s">
        <v>100</v>
      </c>
      <c r="K17" s="4" t="s">
        <v>21</v>
      </c>
    </row>
    <row r="18" ht="78" customHeight="1" spans="1:11" x14ac:dyDescent="0.25">
      <c r="A18" s="2" t="s">
        <v>120</v>
      </c>
      <c r="B18" s="2" t="s">
        <v>12</v>
      </c>
      <c r="C18" s="8" t="s">
        <v>94</v>
      </c>
      <c r="D18" s="4" t="s">
        <v>95</v>
      </c>
      <c r="E18" s="4" t="s">
        <v>121</v>
      </c>
      <c r="F18" s="4" t="s">
        <v>122</v>
      </c>
      <c r="G18" s="4" t="s">
        <v>123</v>
      </c>
      <c r="H18" s="4" t="s">
        <v>124</v>
      </c>
      <c r="I18" s="2" t="s">
        <v>19</v>
      </c>
      <c r="J18" s="4" t="s">
        <v>100</v>
      </c>
      <c r="K18" s="4" t="s">
        <v>125</v>
      </c>
    </row>
    <row r="19" ht="78" customHeight="1" spans="1:11" x14ac:dyDescent="0.25">
      <c r="A19" s="2" t="s">
        <v>126</v>
      </c>
      <c r="B19" s="2" t="s">
        <v>12</v>
      </c>
      <c r="C19" s="8" t="s">
        <v>94</v>
      </c>
      <c r="D19" s="4" t="s">
        <v>95</v>
      </c>
      <c r="E19" s="4" t="s">
        <v>127</v>
      </c>
      <c r="F19" s="4" t="s">
        <v>128</v>
      </c>
      <c r="G19" s="4" t="s">
        <v>123</v>
      </c>
      <c r="H19" s="4" t="s">
        <v>129</v>
      </c>
      <c r="I19" s="2" t="s">
        <v>19</v>
      </c>
      <c r="J19" s="4" t="s">
        <v>100</v>
      </c>
      <c r="K19" s="4" t="s">
        <v>130</v>
      </c>
    </row>
    <row r="20" ht="78" customHeight="1" spans="1:11" x14ac:dyDescent="0.25">
      <c r="A20" s="2" t="s">
        <v>131</v>
      </c>
      <c r="B20" s="2" t="s">
        <v>12</v>
      </c>
      <c r="C20" s="8" t="s">
        <v>94</v>
      </c>
      <c r="D20" s="4" t="s">
        <v>95</v>
      </c>
      <c r="E20" s="4" t="s">
        <v>132</v>
      </c>
      <c r="F20" s="4" t="s">
        <v>133</v>
      </c>
      <c r="G20" s="4" t="s">
        <v>123</v>
      </c>
      <c r="H20" s="4" t="s">
        <v>134</v>
      </c>
      <c r="I20" s="2" t="s">
        <v>19</v>
      </c>
      <c r="J20" s="4" t="s">
        <v>100</v>
      </c>
      <c r="K20" s="4" t="s">
        <v>21</v>
      </c>
    </row>
    <row r="21" ht="78" customHeight="1" spans="1:11" x14ac:dyDescent="0.25">
      <c r="A21" s="2" t="s">
        <v>135</v>
      </c>
      <c r="B21" s="2" t="s">
        <v>23</v>
      </c>
      <c r="C21" s="8" t="s">
        <v>94</v>
      </c>
      <c r="D21" s="4" t="s">
        <v>95</v>
      </c>
      <c r="E21" s="4" t="s">
        <v>136</v>
      </c>
      <c r="F21" s="4" t="s">
        <v>137</v>
      </c>
      <c r="G21" s="4" t="s">
        <v>123</v>
      </c>
      <c r="H21" s="4" t="s">
        <v>138</v>
      </c>
      <c r="I21" s="2" t="s">
        <v>19</v>
      </c>
      <c r="J21" s="4" t="s">
        <v>100</v>
      </c>
      <c r="K21" s="4" t="s">
        <v>139</v>
      </c>
    </row>
    <row r="22" ht="78" customHeight="1" spans="1:11" x14ac:dyDescent="0.25">
      <c r="A22" s="2" t="s">
        <v>140</v>
      </c>
      <c r="B22" s="2" t="s">
        <v>12</v>
      </c>
      <c r="C22" s="8" t="s">
        <v>94</v>
      </c>
      <c r="D22" s="4" t="s">
        <v>95</v>
      </c>
      <c r="E22" s="4" t="s">
        <v>141</v>
      </c>
      <c r="F22" s="4" t="s">
        <v>142</v>
      </c>
      <c r="G22" s="4" t="s">
        <v>123</v>
      </c>
      <c r="H22" s="4" t="s">
        <v>143</v>
      </c>
      <c r="I22" s="2" t="s">
        <v>19</v>
      </c>
      <c r="J22" s="4" t="s">
        <v>100</v>
      </c>
      <c r="K22" s="4" t="s">
        <v>21</v>
      </c>
    </row>
    <row r="23" ht="78" customHeight="1" spans="1:11" x14ac:dyDescent="0.25">
      <c r="A23" s="2" t="s">
        <v>144</v>
      </c>
      <c r="B23" s="2" t="s">
        <v>12</v>
      </c>
      <c r="C23" s="6" t="s">
        <v>32</v>
      </c>
      <c r="D23" s="4" t="s">
        <v>145</v>
      </c>
      <c r="E23" s="4" t="s">
        <v>146</v>
      </c>
      <c r="F23" s="4" t="s">
        <v>147</v>
      </c>
      <c r="G23" s="4" t="s">
        <v>148</v>
      </c>
      <c r="H23" s="4" t="s">
        <v>149</v>
      </c>
      <c r="I23" s="2" t="s">
        <v>19</v>
      </c>
      <c r="J23" s="4" t="s">
        <v>150</v>
      </c>
      <c r="K23" s="4" t="s">
        <v>151</v>
      </c>
    </row>
    <row r="24" ht="78" customHeight="1" spans="1:11" x14ac:dyDescent="0.25">
      <c r="A24" s="2" t="s">
        <v>152</v>
      </c>
      <c r="B24" s="2" t="s">
        <v>23</v>
      </c>
      <c r="C24" s="6" t="s">
        <v>32</v>
      </c>
      <c r="D24" s="4" t="s">
        <v>145</v>
      </c>
      <c r="E24" s="4" t="s">
        <v>153</v>
      </c>
      <c r="F24" s="4" t="s">
        <v>154</v>
      </c>
      <c r="G24" s="4" t="s">
        <v>155</v>
      </c>
      <c r="H24" s="4" t="s">
        <v>156</v>
      </c>
      <c r="I24" s="2" t="s">
        <v>19</v>
      </c>
      <c r="J24" s="4" t="s">
        <v>150</v>
      </c>
      <c r="K24" s="4" t="s">
        <v>157</v>
      </c>
    </row>
    <row r="25" ht="78" customHeight="1" spans="1:11" x14ac:dyDescent="0.25">
      <c r="A25" s="2" t="s">
        <v>158</v>
      </c>
      <c r="B25" s="2" t="s">
        <v>12</v>
      </c>
      <c r="C25" s="7" t="s">
        <v>52</v>
      </c>
      <c r="D25" s="4" t="s">
        <v>145</v>
      </c>
      <c r="E25" s="4" t="s">
        <v>159</v>
      </c>
      <c r="F25" s="4" t="s">
        <v>160</v>
      </c>
      <c r="G25" s="4" t="s">
        <v>60</v>
      </c>
      <c r="H25" s="4" t="s">
        <v>161</v>
      </c>
      <c r="I25" s="2" t="s">
        <v>19</v>
      </c>
      <c r="J25" s="4" t="s">
        <v>150</v>
      </c>
      <c r="K25" s="4" t="s">
        <v>162</v>
      </c>
    </row>
    <row r="26" ht="78" customHeight="1" spans="1:11" x14ac:dyDescent="0.25">
      <c r="A26" s="2" t="s">
        <v>163</v>
      </c>
      <c r="B26" s="2" t="s">
        <v>23</v>
      </c>
      <c r="C26" s="7" t="s">
        <v>52</v>
      </c>
      <c r="D26" s="4" t="s">
        <v>145</v>
      </c>
      <c r="E26" s="4" t="s">
        <v>164</v>
      </c>
      <c r="F26" s="4" t="s">
        <v>165</v>
      </c>
      <c r="G26" s="4" t="s">
        <v>166</v>
      </c>
      <c r="H26" s="4" t="s">
        <v>167</v>
      </c>
      <c r="I26" s="2" t="s">
        <v>19</v>
      </c>
      <c r="J26" s="4" t="s">
        <v>150</v>
      </c>
      <c r="K26" s="4" t="s">
        <v>168</v>
      </c>
    </row>
    <row r="27" ht="78" customHeight="1" spans="1:11" x14ac:dyDescent="0.25">
      <c r="A27" s="2" t="s">
        <v>169</v>
      </c>
      <c r="B27" s="2" t="s">
        <v>23</v>
      </c>
      <c r="C27" s="7" t="s">
        <v>52</v>
      </c>
      <c r="D27" s="4" t="s">
        <v>145</v>
      </c>
      <c r="E27" s="4" t="s">
        <v>170</v>
      </c>
      <c r="F27" s="4" t="s">
        <v>171</v>
      </c>
      <c r="G27" s="4" t="s">
        <v>172</v>
      </c>
      <c r="H27" s="4" t="s">
        <v>173</v>
      </c>
      <c r="I27" s="2" t="s">
        <v>19</v>
      </c>
      <c r="J27" s="4" t="s">
        <v>150</v>
      </c>
      <c r="K27" s="4" t="s">
        <v>174</v>
      </c>
    </row>
    <row r="28" ht="78" customHeight="1" spans="1:11" x14ac:dyDescent="0.25">
      <c r="A28" s="2" t="s">
        <v>175</v>
      </c>
      <c r="B28" s="2" t="s">
        <v>12</v>
      </c>
      <c r="C28" s="7" t="s">
        <v>52</v>
      </c>
      <c r="D28" s="4" t="s">
        <v>145</v>
      </c>
      <c r="E28" s="4" t="s">
        <v>176</v>
      </c>
      <c r="F28" s="4" t="s">
        <v>177</v>
      </c>
      <c r="G28" s="4" t="s">
        <v>178</v>
      </c>
      <c r="H28" s="4" t="s">
        <v>179</v>
      </c>
      <c r="I28" s="2" t="s">
        <v>19</v>
      </c>
      <c r="J28" s="4" t="s">
        <v>150</v>
      </c>
      <c r="K28" s="4" t="s">
        <v>180</v>
      </c>
    </row>
    <row r="29" ht="78" customHeight="1" spans="1:11" x14ac:dyDescent="0.25">
      <c r="A29" s="2" t="s">
        <v>181</v>
      </c>
      <c r="B29" s="2" t="s">
        <v>64</v>
      </c>
      <c r="C29" s="6" t="s">
        <v>32</v>
      </c>
      <c r="D29" s="4" t="s">
        <v>145</v>
      </c>
      <c r="E29" s="4" t="s">
        <v>182</v>
      </c>
      <c r="F29" s="4" t="s">
        <v>183</v>
      </c>
      <c r="G29" s="4" t="s">
        <v>184</v>
      </c>
      <c r="H29" s="4" t="s">
        <v>185</v>
      </c>
      <c r="I29" s="2" t="s">
        <v>19</v>
      </c>
      <c r="J29" s="4" t="s">
        <v>150</v>
      </c>
      <c r="K29" s="4" t="s">
        <v>186</v>
      </c>
    </row>
    <row r="30" ht="78" customHeight="1" spans="1:11" x14ac:dyDescent="0.25">
      <c r="A30" s="2" t="s">
        <v>187</v>
      </c>
      <c r="B30" s="2" t="s">
        <v>23</v>
      </c>
      <c r="C30" s="6" t="s">
        <v>32</v>
      </c>
      <c r="D30" s="4" t="s">
        <v>145</v>
      </c>
      <c r="E30" s="4" t="s">
        <v>188</v>
      </c>
      <c r="F30" s="4" t="s">
        <v>189</v>
      </c>
      <c r="G30" s="4" t="s">
        <v>190</v>
      </c>
      <c r="H30" s="4" t="s">
        <v>191</v>
      </c>
      <c r="I30" s="2" t="s">
        <v>19</v>
      </c>
      <c r="J30" s="4" t="s">
        <v>150</v>
      </c>
      <c r="K30" s="4" t="s">
        <v>192</v>
      </c>
    </row>
    <row r="31" ht="78" customHeight="1" spans="1:11" x14ac:dyDescent="0.25">
      <c r="A31" s="2" t="s">
        <v>193</v>
      </c>
      <c r="B31" s="2" t="s">
        <v>12</v>
      </c>
      <c r="C31" s="6" t="s">
        <v>32</v>
      </c>
      <c r="D31" s="4" t="s">
        <v>194</v>
      </c>
      <c r="E31" s="4" t="s">
        <v>195</v>
      </c>
      <c r="F31" s="4" t="s">
        <v>196</v>
      </c>
      <c r="G31" s="4" t="s">
        <v>197</v>
      </c>
      <c r="H31" s="4" t="s">
        <v>198</v>
      </c>
      <c r="I31" s="2" t="s">
        <v>19</v>
      </c>
      <c r="J31" s="4" t="s">
        <v>199</v>
      </c>
      <c r="K31" s="4" t="s">
        <v>200</v>
      </c>
    </row>
    <row r="32" ht="78" customHeight="1" spans="1:11" x14ac:dyDescent="0.25">
      <c r="A32" s="2" t="s">
        <v>201</v>
      </c>
      <c r="B32" s="2" t="s">
        <v>23</v>
      </c>
      <c r="C32" s="7" t="s">
        <v>52</v>
      </c>
      <c r="D32" s="4" t="s">
        <v>194</v>
      </c>
      <c r="E32" s="4" t="s">
        <v>202</v>
      </c>
      <c r="F32" s="4" t="s">
        <v>203</v>
      </c>
      <c r="G32" s="4" t="s">
        <v>204</v>
      </c>
      <c r="H32" s="4" t="s">
        <v>205</v>
      </c>
      <c r="I32" s="2" t="s">
        <v>19</v>
      </c>
      <c r="J32" s="4" t="s">
        <v>199</v>
      </c>
      <c r="K32" s="4" t="s">
        <v>206</v>
      </c>
    </row>
    <row r="33" ht="78" customHeight="1" spans="1:11" x14ac:dyDescent="0.25">
      <c r="A33" s="2" t="s">
        <v>207</v>
      </c>
      <c r="B33" s="2" t="s">
        <v>23</v>
      </c>
      <c r="C33" s="6" t="s">
        <v>32</v>
      </c>
      <c r="D33" s="4" t="s">
        <v>194</v>
      </c>
      <c r="E33" s="4" t="s">
        <v>208</v>
      </c>
      <c r="F33" s="4" t="s">
        <v>209</v>
      </c>
      <c r="G33" s="4" t="s">
        <v>210</v>
      </c>
      <c r="H33" s="4" t="s">
        <v>211</v>
      </c>
      <c r="I33" s="2" t="s">
        <v>19</v>
      </c>
      <c r="J33" s="4" t="s">
        <v>199</v>
      </c>
      <c r="K33" s="4" t="s">
        <v>212</v>
      </c>
    </row>
    <row r="34" ht="78" customHeight="1" spans="1:11" x14ac:dyDescent="0.25">
      <c r="A34" s="2" t="s">
        <v>213</v>
      </c>
      <c r="B34" s="2" t="s">
        <v>12</v>
      </c>
      <c r="C34" s="6" t="s">
        <v>32</v>
      </c>
      <c r="D34" s="4" t="s">
        <v>214</v>
      </c>
      <c r="E34" s="4" t="s">
        <v>215</v>
      </c>
      <c r="F34" s="4" t="s">
        <v>216</v>
      </c>
      <c r="G34" s="4" t="s">
        <v>217</v>
      </c>
      <c r="H34" s="4" t="s">
        <v>218</v>
      </c>
      <c r="I34" s="2" t="s">
        <v>219</v>
      </c>
      <c r="J34" s="4" t="s">
        <v>220</v>
      </c>
      <c r="K34" s="4" t="s">
        <v>221</v>
      </c>
    </row>
    <row r="35" ht="78" customHeight="1" spans="1:11" x14ac:dyDescent="0.25">
      <c r="A35" s="2" t="s">
        <v>222</v>
      </c>
      <c r="B35" s="2" t="s">
        <v>23</v>
      </c>
      <c r="C35" s="7" t="s">
        <v>52</v>
      </c>
      <c r="D35" s="4" t="s">
        <v>214</v>
      </c>
      <c r="E35" s="4" t="s">
        <v>223</v>
      </c>
      <c r="F35" s="4" t="s">
        <v>224</v>
      </c>
      <c r="G35" s="4" t="s">
        <v>225</v>
      </c>
      <c r="H35" s="4" t="s">
        <v>226</v>
      </c>
      <c r="I35" s="2" t="s">
        <v>219</v>
      </c>
      <c r="J35" s="4" t="s">
        <v>220</v>
      </c>
      <c r="K35" s="4" t="s">
        <v>227</v>
      </c>
    </row>
    <row r="36" ht="78" customHeight="1" spans="1:11" x14ac:dyDescent="0.25">
      <c r="A36" s="2" t="s">
        <v>228</v>
      </c>
      <c r="B36" s="2" t="s">
        <v>12</v>
      </c>
      <c r="C36" s="6" t="s">
        <v>32</v>
      </c>
      <c r="D36" s="4" t="s">
        <v>229</v>
      </c>
      <c r="E36" s="4" t="s">
        <v>230</v>
      </c>
      <c r="F36" s="4" t="s">
        <v>231</v>
      </c>
      <c r="G36" s="4" t="s">
        <v>217</v>
      </c>
      <c r="H36" s="4" t="s">
        <v>232</v>
      </c>
      <c r="I36" s="2" t="s">
        <v>219</v>
      </c>
      <c r="J36" s="4" t="s">
        <v>233</v>
      </c>
      <c r="K36" s="4" t="s">
        <v>234</v>
      </c>
    </row>
    <row r="37" ht="78" customHeight="1" spans="1:11" x14ac:dyDescent="0.25">
      <c r="A37" s="2" t="s">
        <v>235</v>
      </c>
      <c r="B37" s="2" t="s">
        <v>23</v>
      </c>
      <c r="C37" s="6" t="s">
        <v>32</v>
      </c>
      <c r="D37" s="4" t="s">
        <v>229</v>
      </c>
      <c r="E37" s="4" t="s">
        <v>236</v>
      </c>
      <c r="F37" s="4" t="s">
        <v>237</v>
      </c>
      <c r="G37" s="4" t="s">
        <v>217</v>
      </c>
      <c r="H37" s="4" t="s">
        <v>238</v>
      </c>
      <c r="I37" s="2" t="s">
        <v>219</v>
      </c>
      <c r="J37" s="4" t="s">
        <v>233</v>
      </c>
      <c r="K37" s="4" t="s">
        <v>239</v>
      </c>
    </row>
    <row r="38" ht="78" customHeight="1" spans="1:11" x14ac:dyDescent="0.25">
      <c r="A38" s="2" t="s">
        <v>240</v>
      </c>
      <c r="B38" s="2" t="s">
        <v>12</v>
      </c>
      <c r="C38" s="7" t="s">
        <v>52</v>
      </c>
      <c r="D38" s="4" t="s">
        <v>14</v>
      </c>
      <c r="E38" s="4" t="s">
        <v>241</v>
      </c>
      <c r="F38" s="4" t="s">
        <v>242</v>
      </c>
      <c r="G38" s="4" t="s">
        <v>243</v>
      </c>
      <c r="H38" s="4" t="s">
        <v>244</v>
      </c>
      <c r="I38" s="2" t="s">
        <v>219</v>
      </c>
      <c r="J38" s="4" t="s">
        <v>245</v>
      </c>
      <c r="K38" s="4" t="s">
        <v>246</v>
      </c>
    </row>
    <row r="39" ht="78" customHeight="1" spans="1:11" x14ac:dyDescent="0.25">
      <c r="A39" s="2" t="s">
        <v>247</v>
      </c>
      <c r="B39" s="2" t="s">
        <v>23</v>
      </c>
      <c r="C39" s="7" t="s">
        <v>52</v>
      </c>
      <c r="D39" s="4" t="s">
        <v>14</v>
      </c>
      <c r="E39" s="4" t="s">
        <v>248</v>
      </c>
      <c r="F39" s="4" t="s">
        <v>249</v>
      </c>
      <c r="G39" s="4" t="s">
        <v>60</v>
      </c>
      <c r="H39" s="4" t="s">
        <v>250</v>
      </c>
      <c r="I39" s="2" t="s">
        <v>219</v>
      </c>
      <c r="J39" s="4" t="s">
        <v>245</v>
      </c>
      <c r="K39" s="4" t="s">
        <v>251</v>
      </c>
    </row>
    <row r="40" ht="78" customHeight="1" spans="1:11" x14ac:dyDescent="0.25">
      <c r="A40" s="2" t="s">
        <v>252</v>
      </c>
      <c r="B40" s="2" t="s">
        <v>23</v>
      </c>
      <c r="C40" s="5" t="s">
        <v>24</v>
      </c>
      <c r="D40" s="4" t="s">
        <v>14</v>
      </c>
      <c r="E40" s="4" t="s">
        <v>253</v>
      </c>
      <c r="F40" s="4" t="s">
        <v>254</v>
      </c>
      <c r="G40" s="4" t="s">
        <v>255</v>
      </c>
      <c r="H40" s="4" t="s">
        <v>256</v>
      </c>
      <c r="I40" s="2" t="s">
        <v>219</v>
      </c>
      <c r="J40" s="4" t="s">
        <v>245</v>
      </c>
      <c r="K40" s="4" t="s">
        <v>257</v>
      </c>
    </row>
    <row r="41" spans="9:9" x14ac:dyDescent="0.25"/>
    <row r="42" spans="9:9" x14ac:dyDescent="0.25"/>
    <row r="43" spans="9:9" x14ac:dyDescent="0.25"/>
    <row r="44" spans="9:9" x14ac:dyDescent="0.25"/>
    <row r="45" spans="9:9" x14ac:dyDescent="0.25"/>
    <row r="46" spans="9:9" x14ac:dyDescent="0.25"/>
    <row r="47" spans="9:9" x14ac:dyDescent="0.25"/>
    <row r="48" spans="9:9" x14ac:dyDescent="0.25"/>
    <row r="49" spans="9:9" x14ac:dyDescent="0.25"/>
    <row r="50" spans="9:9" x14ac:dyDescent="0.25"/>
    <row r="51" spans="9:9" x14ac:dyDescent="0.25"/>
    <row r="52" spans="9:9" x14ac:dyDescent="0.25"/>
    <row r="53" spans="9:9" x14ac:dyDescent="0.25"/>
    <row r="54" spans="9:9" x14ac:dyDescent="0.25"/>
    <row r="55" spans="9:9" x14ac:dyDescent="0.25"/>
    <row r="56" spans="9:9" x14ac:dyDescent="0.25"/>
    <row r="57" spans="9:9" x14ac:dyDescent="0.25"/>
    <row r="58" spans="9:9" x14ac:dyDescent="0.25"/>
    <row r="59" spans="9:9" x14ac:dyDescent="0.25"/>
    <row r="60" spans="9:9" x14ac:dyDescent="0.25"/>
    <row r="61" spans="9:9" x14ac:dyDescent="0.25"/>
    <row r="62" spans="9:9" x14ac:dyDescent="0.25"/>
    <row r="63" spans="9:9" x14ac:dyDescent="0.25"/>
    <row r="64" spans="9:9" x14ac:dyDescent="0.25"/>
    <row r="65" spans="9:9" x14ac:dyDescent="0.25"/>
    <row r="66" spans="9:9" x14ac:dyDescent="0.25"/>
    <row r="67" spans="9:9" x14ac:dyDescent="0.25"/>
    <row r="68" spans="9:9" x14ac:dyDescent="0.25"/>
    <row r="69" spans="9:9" x14ac:dyDescent="0.25"/>
    <row r="70" spans="9:9" x14ac:dyDescent="0.25"/>
    <row r="71" spans="9:9" x14ac:dyDescent="0.25"/>
    <row r="72" spans="9:9" x14ac:dyDescent="0.25"/>
    <row r="73" spans="9:9" x14ac:dyDescent="0.25"/>
    <row r="74" spans="9:9" x14ac:dyDescent="0.25"/>
    <row r="75" spans="9:9" x14ac:dyDescent="0.25"/>
    <row r="76" spans="9:9" x14ac:dyDescent="0.25"/>
    <row r="77" spans="9:9" x14ac:dyDescent="0.25"/>
    <row r="78" spans="9:9" x14ac:dyDescent="0.25"/>
    <row r="79" spans="9:9" x14ac:dyDescent="0.25"/>
    <row r="80" spans="9:9" x14ac:dyDescent="0.25"/>
    <row r="81" spans="9:9" x14ac:dyDescent="0.25"/>
    <row r="82" spans="9:9" x14ac:dyDescent="0.25"/>
    <row r="83" spans="9:9" x14ac:dyDescent="0.25"/>
    <row r="84" spans="9:9" x14ac:dyDescent="0.25"/>
    <row r="85" spans="9:9" x14ac:dyDescent="0.25"/>
    <row r="86" spans="9:9" x14ac:dyDescent="0.25"/>
    <row r="87" spans="9:9" x14ac:dyDescent="0.25"/>
    <row r="88" spans="9:9" x14ac:dyDescent="0.25"/>
    <row r="89" spans="9:9" x14ac:dyDescent="0.25"/>
    <row r="90" spans="9:9" x14ac:dyDescent="0.25"/>
    <row r="91" spans="9:9" x14ac:dyDescent="0.25"/>
    <row r="92" spans="9:9" x14ac:dyDescent="0.25"/>
    <row r="93" spans="9:9" x14ac:dyDescent="0.25"/>
    <row r="94" spans="9:9" x14ac:dyDescent="0.25"/>
    <row r="95" spans="9:9" x14ac:dyDescent="0.25"/>
    <row r="96" spans="9:9" x14ac:dyDescent="0.25"/>
    <row r="97" spans="9:9" x14ac:dyDescent="0.25"/>
    <row r="98" spans="9:9" x14ac:dyDescent="0.25"/>
    <row r="99" spans="9:9" x14ac:dyDescent="0.25"/>
    <row r="100" spans="9:9" x14ac:dyDescent="0.25"/>
    <row r="101" spans="9:9" x14ac:dyDescent="0.25"/>
    <row r="102" spans="9:9" x14ac:dyDescent="0.25"/>
    <row r="103" spans="9:9" x14ac:dyDescent="0.25"/>
    <row r="104" spans="9:9" x14ac:dyDescent="0.25"/>
    <row r="105" spans="9:9" x14ac:dyDescent="0.25"/>
    <row r="106" spans="9:9" x14ac:dyDescent="0.25"/>
    <row r="107" spans="9:9" x14ac:dyDescent="0.25"/>
    <row r="108" spans="9:9" x14ac:dyDescent="0.25"/>
    <row r="109" spans="9:9" x14ac:dyDescent="0.25"/>
    <row r="110" spans="9:9" x14ac:dyDescent="0.25"/>
    <row r="111" spans="9:9" x14ac:dyDescent="0.25"/>
    <row r="112" spans="9:9" x14ac:dyDescent="0.25"/>
    <row r="113" spans="9:9" x14ac:dyDescent="0.25"/>
    <row r="114" spans="9:9" x14ac:dyDescent="0.25"/>
    <row r="115" spans="9:9" x14ac:dyDescent="0.25"/>
    <row r="116" spans="9:9" x14ac:dyDescent="0.25"/>
    <row r="117" spans="9:9" x14ac:dyDescent="0.25"/>
    <row r="118" spans="9:9" x14ac:dyDescent="0.25"/>
    <row r="119" spans="9:9" x14ac:dyDescent="0.25"/>
    <row r="120" spans="9:9" x14ac:dyDescent="0.25"/>
    <row r="121" spans="9:9" x14ac:dyDescent="0.25"/>
    <row r="122" spans="9:9" x14ac:dyDescent="0.25"/>
    <row r="123" spans="9:9" x14ac:dyDescent="0.25"/>
    <row r="124" spans="9:9" x14ac:dyDescent="0.25"/>
    <row r="125" spans="9:9" x14ac:dyDescent="0.25"/>
    <row r="126" spans="9:9" x14ac:dyDescent="0.25"/>
    <row r="127" spans="9:9" x14ac:dyDescent="0.25"/>
    <row r="128" spans="9:9" x14ac:dyDescent="0.25"/>
    <row r="129" spans="9:9" x14ac:dyDescent="0.25"/>
    <row r="130" spans="9:9" x14ac:dyDescent="0.25"/>
    <row r="131" spans="9:9" x14ac:dyDescent="0.25"/>
    <row r="132" spans="9:9" x14ac:dyDescent="0.25"/>
    <row r="133" spans="9:9" x14ac:dyDescent="0.25"/>
    <row r="134" spans="9:9" x14ac:dyDescent="0.25"/>
    <row r="135" spans="9:9" x14ac:dyDescent="0.25"/>
    <row r="136" spans="9:9" x14ac:dyDescent="0.25"/>
    <row r="137" spans="9:9" x14ac:dyDescent="0.25"/>
    <row r="138" spans="9:9" x14ac:dyDescent="0.25"/>
    <row r="139" spans="9:9" x14ac:dyDescent="0.25"/>
    <row r="140" spans="9:9" x14ac:dyDescent="0.25"/>
    <row r="141" spans="9:9" x14ac:dyDescent="0.25"/>
    <row r="142" spans="9:9" x14ac:dyDescent="0.25"/>
    <row r="143" spans="9:9" x14ac:dyDescent="0.25"/>
    <row r="144" spans="9:9" x14ac:dyDescent="0.25"/>
    <row r="145" spans="9:9" x14ac:dyDescent="0.25"/>
    <row r="146" spans="9:9" x14ac:dyDescent="0.25"/>
    <row r="147" spans="9:9" x14ac:dyDescent="0.25"/>
    <row r="148" spans="9:9" x14ac:dyDescent="0.25"/>
    <row r="149" spans="9:9" x14ac:dyDescent="0.25"/>
    <row r="150" spans="9:9" x14ac:dyDescent="0.25"/>
    <row r="151" spans="9:9" x14ac:dyDescent="0.25"/>
    <row r="152" spans="9:9" x14ac:dyDescent="0.25"/>
    <row r="153" spans="9:9" x14ac:dyDescent="0.25"/>
    <row r="154" spans="9:9" x14ac:dyDescent="0.25"/>
    <row r="155" spans="9:9" x14ac:dyDescent="0.25"/>
    <row r="156" spans="9:9" x14ac:dyDescent="0.25"/>
    <row r="157" spans="9:9" x14ac:dyDescent="0.25"/>
    <row r="158" spans="9:9" x14ac:dyDescent="0.25"/>
    <row r="159" spans="9:9" x14ac:dyDescent="0.25"/>
    <row r="160" spans="9:9" x14ac:dyDescent="0.25"/>
    <row r="161" spans="9:9" x14ac:dyDescent="0.25"/>
    <row r="162" spans="9:9" x14ac:dyDescent="0.25"/>
    <row r="163" spans="9:9" x14ac:dyDescent="0.25"/>
    <row r="164" spans="9:9" x14ac:dyDescent="0.25"/>
    <row r="165" spans="9:9" x14ac:dyDescent="0.25"/>
    <row r="166" spans="9:9" x14ac:dyDescent="0.25"/>
    <row r="167" spans="9:9" x14ac:dyDescent="0.25"/>
    <row r="168" spans="9:9" x14ac:dyDescent="0.25"/>
    <row r="169" spans="9:9" x14ac:dyDescent="0.25"/>
    <row r="170" spans="9:9" x14ac:dyDescent="0.25"/>
    <row r="171" spans="9:9" x14ac:dyDescent="0.25"/>
    <row r="172" spans="9:9" x14ac:dyDescent="0.25"/>
    <row r="173" spans="9:9" x14ac:dyDescent="0.25"/>
    <row r="174" spans="9:9" x14ac:dyDescent="0.25"/>
    <row r="175" spans="9:9" x14ac:dyDescent="0.25"/>
    <row r="176" spans="9:9" x14ac:dyDescent="0.25"/>
    <row r="177" spans="9:9" x14ac:dyDescent="0.25"/>
    <row r="178" spans="9:9" x14ac:dyDescent="0.25"/>
    <row r="179" spans="9:9" x14ac:dyDescent="0.25"/>
    <row r="180" spans="9:9" x14ac:dyDescent="0.25"/>
    <row r="181" spans="9:9" x14ac:dyDescent="0.25"/>
    <row r="182" spans="9:9" x14ac:dyDescent="0.25"/>
    <row r="183" spans="9:9" x14ac:dyDescent="0.25"/>
    <row r="184" spans="9:9" x14ac:dyDescent="0.25"/>
    <row r="185" spans="9:9" x14ac:dyDescent="0.25"/>
    <row r="186" spans="9:9" x14ac:dyDescent="0.25"/>
    <row r="187" spans="9:9" x14ac:dyDescent="0.25"/>
    <row r="188" spans="9:9" x14ac:dyDescent="0.25"/>
    <row r="189" spans="9:9" x14ac:dyDescent="0.25"/>
    <row r="190" spans="9:9" x14ac:dyDescent="0.25"/>
    <row r="191" spans="9:9" x14ac:dyDescent="0.25"/>
    <row r="192" spans="9:9" x14ac:dyDescent="0.25"/>
    <row r="193" spans="9:9" x14ac:dyDescent="0.25"/>
    <row r="194" spans="9:9" x14ac:dyDescent="0.25"/>
    <row r="195" spans="9:9" x14ac:dyDescent="0.25"/>
    <row r="196" spans="9:9" x14ac:dyDescent="0.25"/>
    <row r="197" spans="9:9" x14ac:dyDescent="0.25"/>
    <row r="198" spans="9:9" x14ac:dyDescent="0.25"/>
    <row r="199" spans="9:9" x14ac:dyDescent="0.25"/>
    <row r="200" spans="9:9" x14ac:dyDescent="0.25"/>
  </sheetData>
  <autoFilter ref="A1:K40"/>
  <conditionalFormatting sqref="I2:I200">
    <cfRule type="expression" dxfId="0" priority="1">
      <formula>$I2="Yes"</formula>
    </cfRule>
    <cfRule type="expression" dxfId="1" priority="2">
      <formula>$I2="Planned"</formula>
    </cfRule>
  </conditionalFormatting>
  <dataValidations count="2">
    <dataValidation type="list" allowBlank="1" sqref="I10:I200">
      <formula1>"Yes,Planned,No"</formula1>
    </dataValidation>
    <dataValidation type="list" allowBlank="1" sqref="I2:I200">
      <formula1>"Yes,Planned,No"</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30" customWidth="1"/>
    <col min="2" max="4" width="12" customWidth="1"/>
  </cols>
  <sheetData>
    <row r="1" spans="1:1" x14ac:dyDescent="0.25">
      <c r="A1" s="9" t="s">
        <v>258</v>
      </c>
    </row>
    <row r="3" spans="1:4" x14ac:dyDescent="0.25">
      <c r="A3" s="10" t="s">
        <v>259</v>
      </c>
      <c r="B3" s="10">
        <f>COUNTA('OrangeHRM Test Suite'!$A$2:$A$200)</f>
      </c>
      <c r="C3" s="10"/>
      <c r="D3" s="10"/>
    </row>
    <row r="4" spans="1:4" x14ac:dyDescent="0.25">
      <c r="A4" s="10" t="s">
        <v>8</v>
      </c>
      <c r="B4" s="10">
        <f>COUNTIF('OrangeHRM Test Suite'!$I$2:$I$200,"Yes")</f>
      </c>
      <c r="C4" s="10"/>
      <c r="D4" s="10"/>
    </row>
    <row r="5" spans="1:4" x14ac:dyDescent="0.25">
      <c r="A5" s="10" t="s">
        <v>260</v>
      </c>
      <c r="B5" s="10">
        <f>COUNTIF('OrangeHRM Test Suite'!$I$2:$I$200,"Planned")</f>
      </c>
      <c r="C5" s="10"/>
      <c r="D5" s="10"/>
    </row>
    <row r="6" spans="1:4" x14ac:dyDescent="0.25">
      <c r="A6" s="10"/>
      <c r="B6" s="10"/>
      <c r="C6" s="10"/>
      <c r="D6" s="10"/>
    </row>
    <row r="7" spans="1:4" x14ac:dyDescent="0.25">
      <c r="A7" s="11" t="s">
        <v>261</v>
      </c>
      <c r="B7" s="11" t="s">
        <v>262</v>
      </c>
      <c r="C7" s="11" t="s">
        <v>8</v>
      </c>
      <c r="D7" s="11" t="s">
        <v>219</v>
      </c>
    </row>
    <row r="8" spans="1:4" x14ac:dyDescent="0.25">
      <c r="A8" s="10" t="s">
        <v>13</v>
      </c>
      <c r="B8" s="10">
        <f>COUNTIF('OrangeHRM Test Suite'!$C$2:$C$200,A8)</f>
      </c>
      <c r="C8" s="10">
        <f>COUNTIFS('OrangeHRM Test Suite'!$C$2:$C$200,A8,'OrangeHRM Test Suite'!$I$2:$I$200,"Yes")</f>
      </c>
      <c r="D8" s="10">
        <f>COUNTIFS('OrangeHRM Test Suite'!$C$2:$C$200,A8,'OrangeHRM Test Suite'!$I$2:$I$200,"Planned")</f>
      </c>
    </row>
    <row r="9" spans="1:4" x14ac:dyDescent="0.25">
      <c r="A9" s="10" t="s">
        <v>32</v>
      </c>
      <c r="B9" s="10">
        <f>COUNTIF('OrangeHRM Test Suite'!$C$2:$C$200,A9)</f>
      </c>
      <c r="C9" s="10">
        <f>COUNTIFS('OrangeHRM Test Suite'!$C$2:$C$200,A9,'OrangeHRM Test Suite'!$I$2:$I$200,"Yes")</f>
      </c>
      <c r="D9" s="10">
        <f>COUNTIFS('OrangeHRM Test Suite'!$C$2:$C$200,A9,'OrangeHRM Test Suite'!$I$2:$I$200,"Planned")</f>
      </c>
    </row>
    <row r="10" spans="1:4" x14ac:dyDescent="0.25">
      <c r="A10" s="10" t="s">
        <v>52</v>
      </c>
      <c r="B10" s="10">
        <f>COUNTIF('OrangeHRM Test Suite'!$C$2:$C$200,A10)</f>
      </c>
      <c r="C10" s="10">
        <f>COUNTIFS('OrangeHRM Test Suite'!$C$2:$C$200,A10,'OrangeHRM Test Suite'!$I$2:$I$200,"Yes")</f>
      </c>
      <c r="D10" s="10">
        <f>COUNTIFS('OrangeHRM Test Suite'!$C$2:$C$200,A10,'OrangeHRM Test Suite'!$I$2:$I$200,"Planned")</f>
      </c>
    </row>
    <row r="11" spans="1:4" x14ac:dyDescent="0.25">
      <c r="A11" s="10" t="s">
        <v>24</v>
      </c>
      <c r="B11" s="10">
        <f>COUNTIF('OrangeHRM Test Suite'!$C$2:$C$200,A11)</f>
      </c>
      <c r="C11" s="10">
        <f>COUNTIFS('OrangeHRM Test Suite'!$C$2:$C$200,A11,'OrangeHRM Test Suite'!$I$2:$I$200,"Yes")</f>
      </c>
      <c r="D11" s="10">
        <f>COUNTIFS('OrangeHRM Test Suite'!$C$2:$C$200,A11,'OrangeHRM Test Suite'!$I$2:$I$200,"Planned")</f>
      </c>
    </row>
    <row r="12" spans="1:4" x14ac:dyDescent="0.25">
      <c r="A12" s="10" t="s">
        <v>94</v>
      </c>
      <c r="B12" s="10">
        <f>COUNTIF('OrangeHRM Test Suite'!$C$2:$C$200,A12)</f>
      </c>
      <c r="C12" s="10">
        <f>COUNTIFS('OrangeHRM Test Suite'!$C$2:$C$200,A12,'OrangeHRM Test Suite'!$I$2:$I$200,"Yes")</f>
      </c>
      <c r="D12" s="10">
        <f>COUNTIFS('OrangeHRM Test Suite'!$C$2:$C$200,A12,'OrangeHRM Test Suite'!$I$2:$I$200,"Planned")</f>
      </c>
    </row>
    <row r="13" spans="1:4" x14ac:dyDescent="0.25">
      <c r="A13" s="11" t="s">
        <v>263</v>
      </c>
      <c r="B13" s="11">
        <f>SUM(B8:B12)</f>
      </c>
      <c r="C13" s="11">
        <f>SUM(C8:C12)</f>
      </c>
      <c r="D13" s="11">
        <f>SUM(D8:D12)</f>
      </c>
    </row>
    <row r="15" ht="60" customHeight="1" spans="1:4" x14ac:dyDescent="0.25">
      <c r="A15" s="12" t="s">
        <v>264</v>
      </c>
      <c r="B15" s="12"/>
      <c r="C15" s="12"/>
      <c r="D15" s="12"/>
    </row>
  </sheetData>
  <mergeCells count="1">
    <mergeCell ref="A15:D1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OrangeHRM Test Suite</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2026-10-23T16:54:06Z</dcterms:created>
  <dcterms:modified xsi:type="dcterms:W3CDTF">2026-10-23T16:54:06Z</dcterms:modified>
</cp:coreProperties>
</file>